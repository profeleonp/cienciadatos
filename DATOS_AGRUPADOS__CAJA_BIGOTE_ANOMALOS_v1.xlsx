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-pc\Documents\PODCAST CIENCIA DE DATOS\"/>
    </mc:Choice>
  </mc:AlternateContent>
  <xr:revisionPtr revIDLastSave="0" documentId="8_{057F4997-51BF-43D5-A95E-79530185B6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DCAST-CajBig(60)" sheetId="23" r:id="rId1"/>
    <sheet name="Hoja5" sheetId="22" r:id="rId2"/>
    <sheet name="Hoja2" sheetId="18" r:id="rId3"/>
  </sheets>
  <externalReferences>
    <externalReference r:id="rId4"/>
  </externalReferences>
  <definedNames>
    <definedName name="_xlchart.v1.0" hidden="1">'PODCAST-CajBig(60)'!$M$2:$M$61</definedName>
    <definedName name="_xlchart.v1.1" hidden="1">'PODCAST-CajBig(60)'!$N$3:$N$57</definedName>
    <definedName name="_xlchart.v1.2" hidden="1">'PODCAST-CajBig(60)'!$M$2:$M$61</definedName>
    <definedName name="_xlcn.WorksheetConnection_DTORDK13L301" hidden="1">[1]DTORD!$K$14:$L$31</definedName>
  </definedNames>
  <calcPr calcId="191028"/>
  <extLst>
    <ext xmlns:x15="http://schemas.microsoft.com/office/spreadsheetml/2010/11/main" uri="{FCE2AD5D-F65C-4FA6-A056-5C36A1767C68}">
      <x15:dataModel>
        <x15:modelTables>
          <x15:modelTable id="Rango" name="Rango" connection="WorksheetConnection_DTORD!$K$13:$L$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23" l="1"/>
  <c r="K8" i="23"/>
  <c r="K4" i="23" s="1"/>
  <c r="A8" i="23"/>
  <c r="E8" i="23" s="1"/>
  <c r="L8" i="23"/>
  <c r="I8" i="23"/>
  <c r="C42" i="23"/>
  <c r="M52" i="23" a="1"/>
  <c r="M52" i="23" s="1"/>
  <c r="M42" i="23" a="1"/>
  <c r="M42" i="23" s="1"/>
  <c r="M32" i="23" a="1"/>
  <c r="M32" i="23" s="1"/>
  <c r="M22" i="23" a="1"/>
  <c r="M22" i="23" s="1"/>
  <c r="M12" i="23" a="1"/>
  <c r="M12" i="23" s="1"/>
  <c r="A11" i="23"/>
  <c r="A12" i="23" s="1"/>
  <c r="A13" i="23" s="1"/>
  <c r="A14" i="23" s="1"/>
  <c r="A15" i="23" s="1"/>
  <c r="A16" i="23" s="1"/>
  <c r="J8" i="23"/>
  <c r="C43" i="23"/>
  <c r="C8" i="23"/>
  <c r="B8" i="23"/>
  <c r="B10" i="23" s="1"/>
  <c r="O5" i="23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O38" i="23" s="1"/>
  <c r="O39" i="23" s="1"/>
  <c r="O40" i="23" s="1"/>
  <c r="O41" i="23" s="1"/>
  <c r="O42" i="23" s="1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4" i="23"/>
  <c r="O3" i="23"/>
  <c r="M2" i="23" a="1"/>
  <c r="M2" i="23" s="1"/>
  <c r="D8" i="23" l="1"/>
  <c r="F8" i="23" s="1"/>
  <c r="B11" i="23" s="1"/>
  <c r="C16" i="23"/>
  <c r="D43" i="23"/>
  <c r="C44" i="23"/>
  <c r="D44" i="23" s="1"/>
  <c r="L2" i="23" l="1"/>
  <c r="L3" i="23"/>
  <c r="L4" i="23"/>
  <c r="L5" i="23"/>
  <c r="L6" i="23"/>
  <c r="K6" i="23"/>
  <c r="K5" i="23"/>
  <c r="K3" i="23"/>
  <c r="K2" i="23"/>
  <c r="C45" i="23"/>
  <c r="D45" i="23" s="1"/>
  <c r="B12" i="23"/>
  <c r="C11" i="23"/>
  <c r="E11" i="23" s="1"/>
  <c r="C41" i="23"/>
  <c r="C10" i="23"/>
  <c r="C46" i="23" l="1"/>
  <c r="D46" i="23" s="1"/>
  <c r="D11" i="23"/>
  <c r="C40" i="23"/>
  <c r="D10" i="23"/>
  <c r="E10" i="23"/>
  <c r="F10" i="23" s="1"/>
  <c r="D42" i="23"/>
  <c r="B13" i="23"/>
  <c r="C12" i="23"/>
  <c r="D12" i="23" s="1"/>
  <c r="D41" i="23" l="1"/>
  <c r="C47" i="23"/>
  <c r="D47" i="23" s="1"/>
  <c r="C39" i="23"/>
  <c r="E12" i="23"/>
  <c r="B14" i="23"/>
  <c r="C13" i="23"/>
  <c r="E13" i="23" s="1"/>
  <c r="F11" i="23"/>
  <c r="C38" i="23" l="1"/>
  <c r="C48" i="23"/>
  <c r="D40" i="23"/>
  <c r="F12" i="23"/>
  <c r="C14" i="23"/>
  <c r="E14" i="23" s="1"/>
  <c r="B15" i="23"/>
  <c r="D13" i="23"/>
  <c r="D48" i="23" l="1"/>
  <c r="C49" i="23"/>
  <c r="C37" i="23"/>
  <c r="D39" i="23"/>
  <c r="D14" i="23"/>
  <c r="B16" i="23"/>
  <c r="C15" i="23"/>
  <c r="E15" i="23" s="1"/>
  <c r="F13" i="23"/>
  <c r="C50" i="23" l="1"/>
  <c r="D50" i="23" s="1"/>
  <c r="D49" i="23"/>
  <c r="D37" i="23"/>
  <c r="C36" i="23"/>
  <c r="D36" i="23" s="1"/>
  <c r="D38" i="23"/>
  <c r="E16" i="23"/>
  <c r="D16" i="23"/>
  <c r="D15" i="23"/>
  <c r="F14" i="23"/>
  <c r="F15" i="23" l="1"/>
  <c r="F16" i="23" l="1"/>
  <c r="G16" i="23" l="1"/>
  <c r="G10" i="23"/>
  <c r="G11" i="23"/>
  <c r="G12" i="23"/>
  <c r="G13" i="23"/>
  <c r="G14" i="23"/>
  <c r="G15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E8679-DEE6-44F8-B1C4-69EFAE965828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848F064-776D-49FD-85BD-9F8054B87D11}" name="WorksheetConnection_DTORD!$K$13:$L$30" type="102" refreshedVersion="7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DTORDK13L3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<sst xmlns="http://schemas.openxmlformats.org/spreadsheetml/2006/main" count="39" uniqueCount="39">
  <si>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AtípicosInf</t>
  </si>
  <si>
    <t>AtípicosSup</t>
  </si>
  <si>
    <t>Total Datos</t>
  </si>
  <si>
    <t>Mínimo</t>
  </si>
  <si>
    <t>Máximo:</t>
  </si>
  <si>
    <t>Rango</t>
  </si>
  <si>
    <t>Intervalos</t>
  </si>
  <si>
    <t>Amplitud</t>
  </si>
  <si>
    <t>Diferencia</t>
  </si>
  <si>
    <t>Quartil-1</t>
  </si>
  <si>
    <t>Quartil-2</t>
  </si>
  <si>
    <t>Quartil-3</t>
  </si>
  <si>
    <t>LimInf</t>
  </si>
  <si>
    <t>LimSup</t>
  </si>
  <si>
    <t>Número-Int.</t>
  </si>
  <si>
    <t>Lim-Inf</t>
  </si>
  <si>
    <t>Lim-Sup</t>
  </si>
  <si>
    <t>Marca-Clase</t>
  </si>
  <si>
    <t>Frecuencia</t>
  </si>
  <si>
    <t>F-Acumulada</t>
  </si>
  <si>
    <t>%acumulado</t>
  </si>
  <si>
    <t>Pila/Ord</t>
  </si>
  <si>
    <t>Pila/DT</t>
  </si>
  <si>
    <t>N°</t>
  </si>
  <si>
    <t>1 ATIP/INF=</t>
  </si>
  <si>
    <t>2 ATIP/INF=</t>
  </si>
  <si>
    <t>3 ATIP/INF=</t>
  </si>
  <si>
    <t>4 ATIP/INF=</t>
  </si>
  <si>
    <t>5 ATIP/INF=</t>
  </si>
  <si>
    <t>LIM/INF=</t>
  </si>
  <si>
    <t>QUARTIL25%=</t>
  </si>
  <si>
    <t>MED/Q50%=</t>
  </si>
  <si>
    <t>QUARTIL75%=</t>
  </si>
  <si>
    <t>LIM/SUP=</t>
  </si>
  <si>
    <t>1 ATIP/SUP=</t>
  </si>
  <si>
    <t>2 ATIP/SUP=</t>
  </si>
  <si>
    <t>3 ATIP/SUP=</t>
  </si>
  <si>
    <t>4 ATIP/SUP=</t>
  </si>
  <si>
    <t>5 ATIP/SUP=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</si>
</sst>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  <font>
      <b/>
      <sz val="6"/>
      <color rgb="FF000000"/>
      <name val="Calibri"/>
      <family val="2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5E0B4"/>
        <bgColor rgb="FFAFD095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Border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/>
    <xf numFmtId="166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9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2" fontId="4" fillId="15" borderId="1" xfId="0" applyNumberFormat="1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Excel Built-in 40% - Accent6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A9D18E"/>
      <rgbColor rgb="FF993366"/>
      <rgbColor rgb="FFF2F2F2"/>
      <rgbColor rgb="FFE7E6E6"/>
      <rgbColor rgb="FF660066"/>
      <rgbColor rgb="FFFF8080"/>
      <rgbColor rgb="FF0066CC"/>
      <rgbColor rgb="FFC5E0B4"/>
      <rgbColor rgb="FF000080"/>
      <rgbColor rgb="FFFF00FF"/>
      <rgbColor rgb="FFFFDE59"/>
      <rgbColor rgb="FF00FFFF"/>
      <rgbColor rgb="FF800080"/>
      <rgbColor rgb="FF800000"/>
      <rgbColor rgb="FF008080"/>
      <rgbColor rgb="FF0000FF"/>
      <rgbColor rgb="FF00CCFF"/>
      <rgbColor rgb="FFFFD8CE"/>
      <rgbColor rgb="FFE2F0D9"/>
      <rgbColor rgb="FFE8F2A1"/>
      <rgbColor rgb="FFAFD095"/>
      <rgbColor rgb="FFFFA6A6"/>
      <rgbColor rgb="FFFFE994"/>
      <rgbColor rgb="FFFFD966"/>
      <rgbColor rgb="FF3366FF"/>
      <rgbColor rgb="FF33CCCC"/>
      <rgbColor rgb="FFBBE33D"/>
      <rgbColor rgb="FFFFBF00"/>
      <rgbColor rgb="FFD4EA6B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 sz="1200" baseline="0"/>
              <a:t>Ojiva porcentual de 60 datos en 7 clases (No distingue Atípicos)</a:t>
            </a:r>
          </a:p>
        </c:rich>
      </c:tx>
      <c:layout>
        <c:manualLayout>
          <c:xMode val="edge"/>
          <c:yMode val="edge"/>
          <c:x val="0.11966901539865461"/>
          <c:y val="4.2322162847321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633506685770736"/>
          <c:y val="0.18659152176520846"/>
          <c:w val="0.70576097966220552"/>
          <c:h val="0.58869895056079591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>
              <a:solidFill>
                <a:schemeClr val="accent1"/>
              </a:solidFill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F6B-4C74-978F-8946BAA891B0}"/>
              </c:ext>
            </c:extLst>
          </c:dPt>
          <c:dLbls>
            <c:dLbl>
              <c:idx val="6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F6B-4C74-978F-8946BAA891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'PODCAST-CajBig(60)'!$D$10:$D$16</c:f>
              <c:numCache>
                <c:formatCode>General</c:formatCode>
                <c:ptCount val="7"/>
                <c:pt idx="0">
                  <c:v>6.9350000000000005</c:v>
                </c:pt>
                <c:pt idx="1">
                  <c:v>12.035</c:v>
                </c:pt>
                <c:pt idx="2">
                  <c:v>17.134999999999998</c:v>
                </c:pt>
                <c:pt idx="3">
                  <c:v>22.234999999999999</c:v>
                </c:pt>
                <c:pt idx="4">
                  <c:v>27.335000000000001</c:v>
                </c:pt>
                <c:pt idx="5">
                  <c:v>32.435000000000002</c:v>
                </c:pt>
                <c:pt idx="6">
                  <c:v>37.35</c:v>
                </c:pt>
              </c:numCache>
            </c:numRef>
          </c:cat>
          <c:val>
            <c:numRef>
              <c:f>'PODCAST-CajBig(60)'!$E$10:$E$16</c:f>
              <c:numCache>
                <c:formatCode>General</c:formatCode>
                <c:ptCount val="7"/>
                <c:pt idx="0">
                  <c:v>6</c:v>
                </c:pt>
                <c:pt idx="1">
                  <c:v>13</c:v>
                </c:pt>
                <c:pt idx="2">
                  <c:v>29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B-4C74-978F-8946BAA89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5043376"/>
        <c:axId val="725058352"/>
      </c:barChart>
      <c:lineChart>
        <c:grouping val="standard"/>
        <c:varyColors val="0"/>
        <c:ser>
          <c:idx val="1"/>
          <c:order val="1"/>
          <c:tx>
            <c:strRef>
              <c:f>'PODCAST-CajBig(60)'!$F$24</c:f>
              <c:strCache>
                <c:ptCount val="1"/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  <a:prstDash val="lgDashDot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'PODCAST-CajBig(60)'!$G$10:$G$16</c:f>
              <c:numCache>
                <c:formatCode>0.0%</c:formatCode>
                <c:ptCount val="7"/>
                <c:pt idx="0">
                  <c:v>0.1</c:v>
                </c:pt>
                <c:pt idx="1">
                  <c:v>0.31666666666666665</c:v>
                </c:pt>
                <c:pt idx="2">
                  <c:v>0.8</c:v>
                </c:pt>
                <c:pt idx="3">
                  <c:v>0.8833333333333333</c:v>
                </c:pt>
                <c:pt idx="4">
                  <c:v>0.93333333333333335</c:v>
                </c:pt>
                <c:pt idx="5">
                  <c:v>0.95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B-4C74-978F-8946BAA89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2187376"/>
        <c:axId val="1142186544"/>
      </c:lineChart>
      <c:catAx>
        <c:axId val="72504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725058352"/>
        <c:crosses val="autoZero"/>
        <c:auto val="1"/>
        <c:lblAlgn val="ctr"/>
        <c:lblOffset val="100"/>
        <c:tickLblSkip val="1"/>
        <c:noMultiLvlLbl val="0"/>
      </c:catAx>
      <c:valAx>
        <c:axId val="72505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5043376"/>
        <c:crossesAt val="1"/>
        <c:crossBetween val="between"/>
      </c:valAx>
      <c:valAx>
        <c:axId val="1142186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42187376"/>
        <c:crosses val="max"/>
        <c:crossBetween val="between"/>
      </c:valAx>
      <c:catAx>
        <c:axId val="114218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142186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</c:dTable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Diagrama de Caja y Bigotes: detección de  datos Atípicos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31075348570979144"/>
                  <c:y val="-2.3861084149964847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ATIPICO 3/INF: 4.4</a:t>
                    </a:r>
                  </a:p>
                </c:rich>
              </c:tx>
              <c:spPr>
                <a:xfrm>
                  <a:off x="384525" y="4779614"/>
                  <a:ext cx="1128118" cy="320216"/>
                </a:xfrm>
                <a:solidFill>
                  <a:srgbClr val="ED7D31">
                    <a:lumMod val="40000"/>
                    <a:lumOff val="6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24258"/>
                        <a:gd name="adj2" fmla="val -6413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646163862223247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7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'PODCAST-CajBig(60)'!$D$38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F-4A2A-8014-CE7F1DE1BD2E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6913480990811095"/>
                  <c:y val="-1.908886731997205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5.5: ATIPICO 2/INF</a:t>
                    </a:r>
                  </a:p>
                </c:rich>
              </c:tx>
              <c:spPr>
                <a:xfrm>
                  <a:off x="3006735" y="4402775"/>
                  <a:ext cx="1192298" cy="320216"/>
                </a:xfrm>
                <a:solidFill>
                  <a:srgbClr val="ED7D31">
                    <a:lumMod val="40000"/>
                    <a:lumOff val="6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9511"/>
                        <a:gd name="adj2" fmla="val 1949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048290898922061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6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00B050"/>
                </a:solidFill>
                <a:round/>
              </a:ln>
              <a:effectLst/>
            </c:spPr>
          </c:errBars>
          <c:val>
            <c:numRef>
              <c:f>'PODCAST-CajBig(60)'!$D$39</c:f>
              <c:numCache>
                <c:formatCode>General</c:formatCode>
                <c:ptCount val="1"/>
                <c:pt idx="0">
                  <c:v>1.0999999999999996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F-4A2A-8014-CE7F1DE1BD2E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31491547344918142"/>
                  <c:y val="-7.1583252449894542E-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ATIPICO 1/INF: 6.0</a:t>
                    </a:r>
                  </a:p>
                </c:rich>
              </c:tx>
              <c:spPr>
                <a:xfrm>
                  <a:off x="333723" y="4382511"/>
                  <a:ext cx="1191619" cy="320216"/>
                </a:xfrm>
                <a:solidFill>
                  <a:srgbClr val="ED7D31">
                    <a:lumMod val="40000"/>
                    <a:lumOff val="6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18085"/>
                        <a:gd name="adj2" fmla="val 73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033456696801144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5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'PODCAST-CajBig(60)'!$D$40</c:f>
              <c:numCache>
                <c:formatCode>General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F-4A2A-8014-CE7F1DE1BD2E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9549337376509094"/>
                  <c:y val="-7.039019824239638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i="0" baseline="0"/>
                      <a:t>LIMITE INFERIOR= 6.85</a:t>
                    </a:r>
                  </a:p>
                </c:rich>
              </c:tx>
              <c:spPr>
                <a:xfrm>
                  <a:off x="352920" y="4019735"/>
                  <a:ext cx="1331025" cy="231316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00634"/>
                        <a:gd name="adj2" fmla="val 13835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079077876284065"/>
                      <c:h val="4.346024048215171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4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FFC000"/>
                </a:solidFill>
                <a:round/>
              </a:ln>
              <a:effectLst/>
            </c:spPr>
          </c:errBars>
          <c:val>
            <c:numRef>
              <c:f>'PODCAST-CajBig(60)'!$D$41</c:f>
              <c:numCache>
                <c:formatCode>0.00</c:formatCode>
                <c:ptCount val="1"/>
                <c:pt idx="0">
                  <c:v>0.84999999999999964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F-4A2A-8014-CE7F1DE1BD2E}"/>
            </c:ext>
          </c:extLst>
        </c:ser>
        <c:ser>
          <c:idx val="4"/>
          <c:order val="4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2F-4A2A-8014-CE7F1DE1BD2E}"/>
              </c:ext>
            </c:extLst>
          </c:dPt>
          <c:dLbls>
            <c:dLbl>
              <c:idx val="0"/>
              <c:layout>
                <c:manualLayout>
                  <c:x val="0.24242352411704818"/>
                  <c:y val="-2.147497573496845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14.6: QUARTIL 1/25%</a:t>
                    </a:r>
                  </a:p>
                </c:rich>
              </c:tx>
              <c:spPr>
                <a:xfrm>
                  <a:off x="2739579" y="3894524"/>
                  <a:ext cx="1482080" cy="326997"/>
                </a:xfrm>
                <a:noFill/>
                <a:ln w="9525" cap="flat" cmpd="sng" algn="ctr">
                  <a:solidFill>
                    <a:schemeClr val="bg2">
                      <a:lumMod val="10000"/>
                    </a:scheme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2897"/>
                        <a:gd name="adj2" fmla="val -79483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2379218134866705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0070C0"/>
                </a:solidFill>
                <a:round/>
              </a:ln>
              <a:effectLst/>
            </c:spPr>
          </c:errBars>
          <c:val>
            <c:numRef>
              <c:f>'PODCAST-CajBig(60)'!$D$42</c:f>
              <c:numCache>
                <c:formatCode>0.00</c:formatCode>
                <c:ptCount val="1"/>
                <c:pt idx="0">
                  <c:v>7.2075000000000014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F-4A2A-8014-CE7F1DE1BD2E}"/>
            </c:ext>
          </c:extLst>
        </c:ser>
        <c:ser>
          <c:idx val="5"/>
          <c:order val="5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33848408705640876"/>
                  <c:y val="-5.47460622179245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MEDIANA,25%</a:t>
                    </a:r>
                    <a:r>
                      <a:rPr lang="en-US" b="1" baseline="0"/>
                      <a:t> CUARTIL 2: 16.59</a:t>
                    </a:r>
                    <a:endParaRPr lang="en-US" b="1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95000"/>
                      <a:lumOff val="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72172"/>
                        <a:gd name="adj2" fmla="val 51894"/>
                      </a:avLst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13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errBars>
          <c:val>
            <c:numRef>
              <c:f>'PODCAST-CajBig(60)'!$D$43</c:f>
              <c:numCache>
                <c:formatCode>0.00</c:formatCode>
                <c:ptCount val="1"/>
                <c:pt idx="0">
                  <c:v>2.5324999999999989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2F-4A2A-8014-CE7F1DE1BD2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4277624605113102"/>
                  <c:y val="-0.10021655342985245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19.35: QUARTIL 3/75%</a:t>
                    </a:r>
                  </a:p>
                </c:rich>
              </c:tx>
              <c:spPr>
                <a:xfrm>
                  <a:off x="2748428" y="2607715"/>
                  <a:ext cx="1467612" cy="320216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75562"/>
                        <a:gd name="adj2" fmla="val 116487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2063111992764232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2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'PODCAST-CajBig(60)'!$D$44</c:f>
              <c:numCache>
                <c:formatCode>0.00</c:formatCode>
                <c:ptCount val="1"/>
                <c:pt idx="0">
                  <c:v>2.759999999999998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2F-4A2A-8014-CE7F1DE1BD2E}"/>
            </c:ext>
          </c:extLst>
        </c:ser>
        <c:ser>
          <c:idx val="7"/>
          <c:order val="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8734504922158671"/>
                  <c:y val="-8.353446160563678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LÍMITE SUPERIOR=</a:t>
                    </a:r>
                    <a:r>
                      <a:rPr lang="en-US" b="1" baseline="0"/>
                      <a:t> 26.7</a:t>
                    </a:r>
                    <a:endParaRPr lang="en-US" b="1"/>
                  </a:p>
                </c:rich>
              </c:tx>
              <c:spPr>
                <a:xfrm>
                  <a:off x="337807" y="2167220"/>
                  <a:ext cx="1435848" cy="320216"/>
                </a:xfrm>
                <a:solidFill>
                  <a:sysClr val="window" lastClr="FFFFFF"/>
                </a:solidFill>
                <a:ln w="9525" cap="flat" cmpd="sng" algn="ctr">
                  <a:solidFill>
                    <a:schemeClr val="bg2">
                      <a:lumMod val="10000"/>
                    </a:scheme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0528"/>
                        <a:gd name="adj2" fmla="val 21244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36915971563774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1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chemeClr val="bg2">
                    <a:lumMod val="1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errBars>
          <c:val>
            <c:numRef>
              <c:f>'PODCAST-CajBig(60)'!$D$45</c:f>
              <c:numCache>
                <c:formatCode>0.00</c:formatCode>
                <c:ptCount val="1"/>
                <c:pt idx="0">
                  <c:v>7.3500000000000014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2F-4A2A-8014-CE7F1DE1BD2E}"/>
            </c:ext>
          </c:extLst>
        </c:ser>
        <c:ser>
          <c:idx val="8"/>
          <c:order val="8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5689815886942552"/>
                  <c:y val="-4.773472423048429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1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31.2: ATIPICO 1/SUP</a:t>
                    </a:r>
                  </a:p>
                </c:rich>
              </c:tx>
              <c:spPr>
                <a:xfrm>
                  <a:off x="2997528" y="1737385"/>
                  <a:ext cx="1098692" cy="320216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04383"/>
                        <a:gd name="adj2" fmla="val 29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003268330835478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accent3">
                    <a:lumMod val="75000"/>
                  </a:schemeClr>
                </a:solidFill>
                <a:round/>
              </a:ln>
              <a:effectLst/>
            </c:spPr>
          </c:errBars>
          <c:val>
            <c:numRef>
              <c:f>'PODCAST-CajBig(60)'!$D$46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2F-4A2A-8014-CE7F1DE1BD2E}"/>
            </c:ext>
          </c:extLst>
        </c:ser>
        <c:ser>
          <c:idx val="9"/>
          <c:order val="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9848511991890347"/>
                  <c:y val="-7.636862105855284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ATIPICO 2/SUP=35.7</a:t>
                    </a:r>
                  </a:p>
                </c:rich>
              </c:tx>
              <c:spPr>
                <a:xfrm>
                  <a:off x="442750" y="1113809"/>
                  <a:ext cx="1200198" cy="320216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06535"/>
                        <a:gd name="adj2" fmla="val 5221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220883235822307"/>
                      <c:h val="6.01629993871271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7030A0"/>
                </a:solidFill>
                <a:round/>
              </a:ln>
              <a:effectLst/>
            </c:spPr>
          </c:errBars>
          <c:val>
            <c:numRef>
              <c:f>'PODCAST-CajBig(60)'!$D$47</c:f>
              <c:numCache>
                <c:formatCode>General</c:formatCode>
                <c:ptCount val="1"/>
                <c:pt idx="0">
                  <c:v>4.5000000000000036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2F-4A2A-8014-CE7F1DE1BD2E}"/>
            </c:ext>
          </c:extLst>
        </c:ser>
        <c:ser>
          <c:idx val="10"/>
          <c:order val="1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2492982883739937"/>
                  <c:y val="-1.670715348066954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38.4: ATIPICO 3/SUP</a:t>
                    </a:r>
                  </a:p>
                </c:rich>
              </c:tx>
              <c:spPr>
                <a:xfrm>
                  <a:off x="2831779" y="1056621"/>
                  <a:ext cx="1215989" cy="320216"/>
                </a:xfrm>
                <a:solidFill>
                  <a:srgbClr val="FFFF00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6396"/>
                        <a:gd name="adj2" fmla="val -1819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556913115302599"/>
                      <c:h val="6.000767205290755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chemeClr val="accent4">
                    <a:lumMod val="75000"/>
                    <a:alpha val="97000"/>
                  </a:schemeClr>
                </a:solidFill>
                <a:round/>
              </a:ln>
              <a:effectLst/>
            </c:spPr>
          </c:errBars>
          <c:val>
            <c:numRef>
              <c:f>'PODCAST-CajBig(60)'!$D$48</c:f>
              <c:numCache>
                <c:formatCode>General</c:formatCode>
                <c:ptCount val="1"/>
                <c:pt idx="0">
                  <c:v>2.6999999999999957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2F-4A2A-8014-CE7F1DE1BD2E}"/>
            </c:ext>
          </c:extLst>
        </c:ser>
        <c:ser>
          <c:idx val="11"/>
          <c:order val="1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7916666666666667"/>
                  <c:y val="-5.896046550000996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/>
                      <a:t>ATIPICO 4/SUP=39.7</a:t>
                    </a:r>
                  </a:p>
                </c:rich>
              </c:tx>
              <c:spPr>
                <a:solidFill>
                  <a:srgbClr val="FFFF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0695472440944882"/>
                      <c:h val="6.017882855979826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D-2A2F-4A2A-8014-CE7F1DE1BD2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'PODCAST-CajBig(60)'!$D$49</c:f>
              <c:numCache>
                <c:formatCode>General</c:formatCode>
                <c:ptCount val="1"/>
                <c:pt idx="0">
                  <c:v>1.3000000000000043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2F-4A2A-8014-CE7F1DE1B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647679"/>
        <c:axId val="1005648159"/>
      </c:barChart>
      <c:catAx>
        <c:axId val="1005647679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5648159"/>
        <c:crosses val="autoZero"/>
        <c:auto val="0"/>
        <c:lblAlgn val="ctr"/>
        <c:lblOffset val="100"/>
        <c:noMultiLvlLbl val="0"/>
      </c:catAx>
      <c:valAx>
        <c:axId val="10056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6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Diagrama de Caja y Bigotes-Excel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Diagrama de Caja y Bigotes-Excel</a:t>
          </a:r>
        </a:p>
      </cx:txPr>
    </cx:title>
    <cx:plotArea>
      <cx:plotAreaRegion>
        <cx:series layoutId="boxWhisker" uniqueId="{E1DE5946-C370-48CB-ABA7-556B789D9EEB}">
          <cx:dataLabels pos="l">
            <cx:spPr>
              <a:noFill/>
              <a:ln cap="rnd">
                <a:solidFill>
                  <a:schemeClr val="bg1"/>
                </a:solidFill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 b="0" i="0" baseline="0">
                    <a:solidFill>
                      <a:schemeClr val="tx1"/>
                    </a:solidFill>
                  </a:defRPr>
                </a:pPr>
                <a:endParaRPr lang="es-ES" sz="8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 </cx:separator>
            <cx:dataLabel idx="1">
              <cx:spPr>
                <a:noFill/>
              </cx:spPr>
              <cx:visibility seriesName="0" categoryName="0" value="1"/>
              <cx:separator> </cx:separator>
            </cx:dataLabel>
            <cx:dataLabel idx="10">
              <cx:spPr>
                <a:solidFill>
                  <a:schemeClr val="accent2">
                    <a:lumMod val="20000"/>
                    <a:lumOff val="80000"/>
                  </a:schemeClr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11,6</a:t>
                  </a:r>
                </a:p>
              </cx:txPr>
              <cx:visibility seriesName="0" categoryName="0" value="1"/>
              <cx:separator> </cx:separator>
            </cx:dataLabel>
            <cx:dataLabel idx="13" pos="r">
              <cx:spPr>
                <a:solidFill>
                  <a:srgbClr val="FFFF00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4,2</a:t>
                  </a:r>
                </a:p>
              </cx:txPr>
              <cx:visibility seriesName="0" categoryName="0" value="1"/>
              <cx:separator> </cx:separator>
            </cx:dataLabel>
            <cx:dataLabel idx="26">
              <cx:spPr>
                <a:solidFill>
                  <a:srgbClr val="FFFF00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35,7</a:t>
                  </a:r>
                </a:p>
              </cx:txPr>
              <cx:visibility seriesName="0" categoryName="0" value="1"/>
              <cx:separator> </cx:separator>
            </cx:dataLabel>
            <cx:dataLabel idx="56">
              <cx:spPr>
                <a:noFill/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31,2</a:t>
                  </a:r>
                </a:p>
              </cx:txPr>
              <cx:visibility seriesName="0" categoryName="0" value="1"/>
              <cx:separator> </cx:separator>
            </cx:dataLabel>
            <cx:dataLabel idx="57">
              <cx:spPr>
                <a:noFill/>
              </cx:spPr>
              <cx:visibility seriesName="0" categoryName="0" value="1"/>
              <cx:separator> </cx:separator>
            </cx:dataLabel>
            <cx:dataLabel idx="58">
              <cx:spPr>
                <a:noFill/>
              </cx:spPr>
              <cx:visibility seriesName="0" categoryName="0" value="1"/>
              <cx:separator> </cx:separator>
            </cx:dataLabel>
            <cx:dataLabel idx="59">
              <cx:spPr>
                <a:noFill/>
              </cx:spPr>
              <cx:visibility seriesName="0" categoryName="0" value="1"/>
              <cx:separator> </cx:separator>
            </cx:dataLabel>
            <cx:dataLabel idx="62">
              <cx:spPr>
                <a:noFill/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19,35</a:t>
                  </a:r>
                </a:p>
              </cx:txPr>
              <cx:visibility seriesName="0" categoryName="0" value="1"/>
              <cx:separator> </cx:separator>
            </cx:dataLabel>
            <cx:dataLabelHidden idx="63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8020</xdr:rowOff>
    </xdr:from>
    <xdr:to>
      <xdr:col>6</xdr:col>
      <xdr:colOff>527538</xdr:colOff>
      <xdr:row>33</xdr:row>
      <xdr:rowOff>161191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DBDFE7-BBBC-48B9-B7BA-9FF5970F8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4142</xdr:colOff>
      <xdr:row>8</xdr:row>
      <xdr:rowOff>35168</xdr:rowOff>
    </xdr:from>
    <xdr:to>
      <xdr:col>12</xdr:col>
      <xdr:colOff>23446</xdr:colOff>
      <xdr:row>34</xdr:row>
      <xdr:rowOff>78685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21DB308-2606-48E6-B5FB-4A70DC5B3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3381" y="1501190"/>
              <a:ext cx="2963772" cy="47811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168442</xdr:colOff>
      <xdr:row>34</xdr:row>
      <xdr:rowOff>54485</xdr:rowOff>
    </xdr:from>
    <xdr:to>
      <xdr:col>11</xdr:col>
      <xdr:colOff>498170</xdr:colOff>
      <xdr:row>63</xdr:row>
      <xdr:rowOff>161691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79252A-4B69-4888-333D-32FB6B197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OS_AGRUPADOS__CAJA_BIGOTE_ANOMALOS_v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O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D061-135D-4BEF-8C3E-2502A961531C}">
  <sheetPr>
    <pageSetUpPr fitToPage="1"/>
  </sheetPr>
  <dimension ref="A1:O69"/>
  <sheetViews>
    <sheetView tabSelected="1" topLeftCell="A10" zoomScale="95" zoomScaleNormal="95" workbookViewId="0">
      <selection activeCell="R29" sqref="R29"/>
    </sheetView>
  </sheetViews>
  <sheetFormatPr baseColWidth="10" defaultColWidth="11.44140625" defaultRowHeight="14.4" x14ac:dyDescent="0.3"/>
  <cols>
    <col min="1" max="1" width="13.33203125" style="1" customWidth="1"/>
    <col min="2" max="2" width="11.44140625" style="1"/>
    <col min="3" max="3" width="13.44140625" style="1" customWidth="1"/>
    <col min="4" max="4" width="11.44140625" style="1" customWidth="1"/>
    <col min="5" max="5" width="11.44140625" style="1"/>
    <col min="6" max="6" width="12.44140625" style="1" bestFit="1" customWidth="1"/>
    <col min="7" max="7" width="11.44140625" style="1"/>
    <col min="8" max="8" width="8.6640625" style="1" customWidth="1"/>
    <col min="9" max="9" width="9.33203125" style="1" customWidth="1"/>
    <col min="10" max="10" width="8.44140625" style="1" customWidth="1"/>
    <col min="11" max="11" width="8.109375" style="1" customWidth="1"/>
    <col min="12" max="12" width="8.33203125" style="1" customWidth="1"/>
    <col min="13" max="13" width="11.109375" style="1" customWidth="1"/>
    <col min="14" max="14" width="11" style="1" customWidth="1"/>
    <col min="15" max="15" width="5.6640625" style="1" customWidth="1"/>
  </cols>
  <sheetData>
    <row r="1" spans="1:15" x14ac:dyDescent="0.3">
      <c r="A1" s="1">
        <v>4.4000000000000004</v>
      </c>
      <c r="B1" s="1">
        <v>6</v>
      </c>
      <c r="C1" s="1">
        <v>26.5</v>
      </c>
      <c r="D1" s="1">
        <v>12.2</v>
      </c>
      <c r="E1" s="1">
        <v>17.2</v>
      </c>
      <c r="F1" s="1">
        <v>11.6</v>
      </c>
      <c r="G1" s="1">
        <v>14.83</v>
      </c>
      <c r="H1" s="1">
        <v>18.5</v>
      </c>
      <c r="I1" s="1">
        <v>19.2</v>
      </c>
      <c r="J1" s="1">
        <v>16.559999999999999</v>
      </c>
      <c r="K1" s="20" t="s">
        <v>0</v>
      </c>
      <c r="L1" s="21" t="s">
        <v>1</v>
      </c>
      <c r="M1" s="18" t="s">
        <v>22</v>
      </c>
      <c r="N1" s="46" t="s">
        <v>21</v>
      </c>
      <c r="O1" s="1" t="s">
        <v>23</v>
      </c>
    </row>
    <row r="2" spans="1:15" x14ac:dyDescent="0.3">
      <c r="A2" s="1">
        <v>31.2</v>
      </c>
      <c r="B2" s="1">
        <v>15.9</v>
      </c>
      <c r="C2" s="1">
        <v>17.399999999999999</v>
      </c>
      <c r="D2" s="1">
        <v>14.1</v>
      </c>
      <c r="E2" s="1">
        <v>11.7</v>
      </c>
      <c r="F2" s="1">
        <v>15.85</v>
      </c>
      <c r="G2" s="1">
        <v>6.92</v>
      </c>
      <c r="H2" s="1">
        <v>19.399999999999999</v>
      </c>
      <c r="I2" s="1">
        <v>19.399999999999999</v>
      </c>
      <c r="J2" s="1">
        <v>15.85</v>
      </c>
      <c r="K2" s="23">
        <f>IF((SMALL($A$1:$J$6,1))&lt;$K$8,(SMALL($A$1:$J$6,1)),"")</f>
        <v>4.4000000000000004</v>
      </c>
      <c r="L2" s="22" t="str">
        <f>IF((LARGE($A$1:$J$6,5))&gt;$L$8,(LARGE($A$1:$J$6,5)),"")</f>
        <v/>
      </c>
      <c r="M2" s="1" cm="1">
        <f t="array" ref="M2:M11">TRANSPOSE(A1:J1)</f>
        <v>4.4000000000000004</v>
      </c>
      <c r="N2" s="36">
        <v>4.4000000000000004</v>
      </c>
      <c r="O2" s="1">
        <v>1</v>
      </c>
    </row>
    <row r="3" spans="1:15" x14ac:dyDescent="0.3">
      <c r="A3" s="1">
        <v>20.59</v>
      </c>
      <c r="B3" s="1">
        <v>23.2</v>
      </c>
      <c r="C3" s="1">
        <v>16.32</v>
      </c>
      <c r="D3" s="1">
        <v>6.85</v>
      </c>
      <c r="E3" s="1">
        <v>15.3</v>
      </c>
      <c r="F3" s="1">
        <v>16.62</v>
      </c>
      <c r="G3" s="1">
        <v>5.5</v>
      </c>
      <c r="H3" s="1">
        <v>19.899999999999999</v>
      </c>
      <c r="I3" s="1">
        <v>17.600000000000001</v>
      </c>
      <c r="J3" s="1">
        <v>22.41</v>
      </c>
      <c r="K3" s="23">
        <f>IF((SMALL($A$1:$J$6,2))&lt;$K$8,(SMALL($A$1:$J$6,2)),"")</f>
        <v>5.5</v>
      </c>
      <c r="L3" s="22">
        <f>IF((LARGE($A$1:$J$6,4))&gt;$L$8,(LARGE($A$1:$J$6,4)),"")</f>
        <v>31.2</v>
      </c>
      <c r="M3" s="1">
        <v>6</v>
      </c>
      <c r="N3" s="36">
        <v>5.5</v>
      </c>
      <c r="O3" s="1">
        <f>O2+1</f>
        <v>2</v>
      </c>
    </row>
    <row r="4" spans="1:15" x14ac:dyDescent="0.3">
      <c r="A4" s="1">
        <v>38.4</v>
      </c>
      <c r="B4" s="1">
        <v>25.2</v>
      </c>
      <c r="C4" s="1">
        <v>16.22</v>
      </c>
      <c r="D4" s="1">
        <v>14.08</v>
      </c>
      <c r="E4" s="1">
        <v>15.42</v>
      </c>
      <c r="F4" s="1">
        <v>18.72</v>
      </c>
      <c r="G4" s="1">
        <v>9.8000000000000007</v>
      </c>
      <c r="H4" s="1">
        <v>18</v>
      </c>
      <c r="I4" s="1">
        <v>18.2</v>
      </c>
      <c r="J4" s="1">
        <v>21.66</v>
      </c>
      <c r="K4" s="23">
        <f>IF((SMALL($A$1:$J$6,3))&lt;$K$8,(SMALL($A$1:$J$6,3)),"")</f>
        <v>6</v>
      </c>
      <c r="L4" s="22">
        <f>IF((LARGE($A$1:$J$6,3))&gt;$L$8,(LARGE($A$1:$J$6,3)),"")</f>
        <v>35.700000000000003</v>
      </c>
      <c r="M4" s="1">
        <v>26.5</v>
      </c>
      <c r="N4" s="36">
        <v>6</v>
      </c>
      <c r="O4" s="1">
        <f t="shared" ref="O4:O61" si="0">O3+1</f>
        <v>3</v>
      </c>
    </row>
    <row r="5" spans="1:15" x14ac:dyDescent="0.3">
      <c r="A5" s="1">
        <v>18.399999999999999</v>
      </c>
      <c r="B5" s="1">
        <v>39.700000000000003</v>
      </c>
      <c r="C5" s="1">
        <v>10.52</v>
      </c>
      <c r="D5" s="1">
        <v>14.15</v>
      </c>
      <c r="E5" s="1">
        <v>18.41</v>
      </c>
      <c r="F5" s="1">
        <v>14.42</v>
      </c>
      <c r="G5" s="1">
        <v>9.4</v>
      </c>
      <c r="H5" s="1">
        <v>19.100000000000001</v>
      </c>
      <c r="I5" s="1">
        <v>14.05</v>
      </c>
      <c r="J5" s="1">
        <v>10.55</v>
      </c>
      <c r="K5" s="23" t="str">
        <f>IF((SMALL($A$1:$J$6,4))&lt;$K$8,(SMALL($A$1:$J$6,4)),"")</f>
        <v/>
      </c>
      <c r="L5" s="22">
        <f>IF((LARGE($A$1:$J$6,2))&gt;$L$8,(LARGE($A$1:$J$6,2)),"")</f>
        <v>38.4</v>
      </c>
      <c r="M5" s="1">
        <v>12.2</v>
      </c>
      <c r="N5" s="52">
        <v>6.85</v>
      </c>
      <c r="O5" s="1">
        <f t="shared" si="0"/>
        <v>4</v>
      </c>
    </row>
    <row r="6" spans="1:15" x14ac:dyDescent="0.3">
      <c r="A6" s="1">
        <v>26.7</v>
      </c>
      <c r="B6" s="1">
        <v>35.700000000000003</v>
      </c>
      <c r="C6" s="1">
        <v>11.9</v>
      </c>
      <c r="D6" s="1">
        <v>10.15</v>
      </c>
      <c r="E6" s="1">
        <v>14.63</v>
      </c>
      <c r="F6" s="1">
        <v>17.600000000000001</v>
      </c>
      <c r="G6" s="1">
        <v>17.2</v>
      </c>
      <c r="H6" s="1">
        <v>18.7</v>
      </c>
      <c r="I6" s="1">
        <v>14.93</v>
      </c>
      <c r="J6" s="1">
        <v>19.48</v>
      </c>
      <c r="K6" s="23" t="str">
        <f>IF((SMALL($A$1:$J$6,5))&lt;$K$8,(SMALL($A$1:$J$6,5)),"")</f>
        <v/>
      </c>
      <c r="L6" s="38">
        <f>IF((LARGE($A$1:$J$6,1))&gt;$L$8,(LARGE($A$1:$J$6,1)),"")</f>
        <v>39.700000000000003</v>
      </c>
      <c r="M6" s="1">
        <v>17.2</v>
      </c>
      <c r="N6" s="1">
        <v>6.92</v>
      </c>
      <c r="O6" s="1">
        <f t="shared" si="0"/>
        <v>5</v>
      </c>
    </row>
    <row r="7" spans="1:15" x14ac:dyDescent="0.3">
      <c r="A7" s="5" t="s">
        <v>2</v>
      </c>
      <c r="B7" s="12" t="s">
        <v>3</v>
      </c>
      <c r="C7" s="13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44" t="s">
        <v>9</v>
      </c>
      <c r="I7" s="11" t="s">
        <v>10</v>
      </c>
      <c r="J7" s="39" t="s">
        <v>11</v>
      </c>
      <c r="K7" s="41" t="s">
        <v>12</v>
      </c>
      <c r="L7" s="42" t="s">
        <v>13</v>
      </c>
      <c r="M7" s="1">
        <v>11.6</v>
      </c>
      <c r="N7" s="1">
        <v>9.4</v>
      </c>
      <c r="O7" s="1">
        <f t="shared" si="0"/>
        <v>6</v>
      </c>
    </row>
    <row r="8" spans="1:15" ht="15" thickBot="1" x14ac:dyDescent="0.35">
      <c r="A8" s="37">
        <f>COUNT(A1:J6)</f>
        <v>60</v>
      </c>
      <c r="B8" s="24">
        <f>MIN(A1:J6)</f>
        <v>4.4000000000000004</v>
      </c>
      <c r="C8" s="25">
        <f>MAX(A1:J6)</f>
        <v>39.700000000000003</v>
      </c>
      <c r="D8" s="19">
        <f>C8-B8</f>
        <v>35.300000000000004</v>
      </c>
      <c r="E8" s="19">
        <f>ROUNDUP(1+3.322*LOG(A8),0)</f>
        <v>7</v>
      </c>
      <c r="F8" s="19">
        <f>ROUNDUP(D8/E8,1)</f>
        <v>5.0999999999999996</v>
      </c>
      <c r="G8" s="19">
        <v>0.01</v>
      </c>
      <c r="H8" s="45">
        <f>_xlfn.QUARTILE.EXC(A1:J6,1)</f>
        <v>14.057500000000001</v>
      </c>
      <c r="I8" s="26">
        <f>_xlfn.QUARTILE.EXC(A1:J6,2)</f>
        <v>16.59</v>
      </c>
      <c r="J8" s="40">
        <f>_xlfn.QUARTILE.EXC(A1:J6,3)</f>
        <v>19.349999999999998</v>
      </c>
      <c r="K8" s="27">
        <f>_xlfn.MINIFS($A$1:$J$6,$A$1:$J$6,CONCATENATE("&gt;",2.5*$H$8-1.5*$J$8))</f>
        <v>6.85</v>
      </c>
      <c r="L8" s="43">
        <f>_xlfn.MAXIFS($A$1:$J$6,$A$1:$J$6,CONCATENATE("&lt;",2.5*$J$8-1.5*$H$8))</f>
        <v>26.7</v>
      </c>
      <c r="M8" s="1">
        <v>14.83</v>
      </c>
      <c r="N8" s="1">
        <v>9.8000000000000007</v>
      </c>
      <c r="O8" s="1">
        <f t="shared" si="0"/>
        <v>7</v>
      </c>
    </row>
    <row r="9" spans="1:15" x14ac:dyDescent="0.3">
      <c r="A9" s="2" t="s">
        <v>14</v>
      </c>
      <c r="B9" s="2" t="s">
        <v>15</v>
      </c>
      <c r="C9" s="2" t="s">
        <v>16</v>
      </c>
      <c r="D9" s="2" t="s">
        <v>17</v>
      </c>
      <c r="E9" s="10" t="s">
        <v>18</v>
      </c>
      <c r="F9" s="1" t="s">
        <v>19</v>
      </c>
      <c r="G9" s="10" t="s">
        <v>20</v>
      </c>
      <c r="H9" s="6"/>
      <c r="I9" s="9"/>
      <c r="J9" s="6"/>
      <c r="M9" s="1">
        <v>18.5</v>
      </c>
      <c r="N9" s="1">
        <v>10.15</v>
      </c>
      <c r="O9" s="1">
        <f t="shared" si="0"/>
        <v>8</v>
      </c>
    </row>
    <row r="10" spans="1:15" x14ac:dyDescent="0.3">
      <c r="A10" s="2">
        <v>1</v>
      </c>
      <c r="B10" s="19">
        <f>$B$8-$G$8</f>
        <v>4.3900000000000006</v>
      </c>
      <c r="C10" s="3">
        <f t="shared" ref="C10:C15" si="1">B10+$F$8-$G$8</f>
        <v>9.48</v>
      </c>
      <c r="D10" s="3">
        <f t="shared" ref="D10:D16" si="2">AVERAGE(B10,C10)</f>
        <v>6.9350000000000005</v>
      </c>
      <c r="E10" s="28">
        <f>COUNTIFS($A$1:$J$6,"&gt;="&amp;B10,$A$1:$J$6,"&lt;="&amp;C10)</f>
        <v>6</v>
      </c>
      <c r="F10" s="4">
        <f>E10</f>
        <v>6</v>
      </c>
      <c r="G10" s="29">
        <f>F10/$F$16</f>
        <v>0.1</v>
      </c>
      <c r="H10" s="6"/>
      <c r="I10" s="9"/>
      <c r="J10" s="6"/>
      <c r="L10" s="7"/>
      <c r="M10" s="1">
        <v>19.2</v>
      </c>
      <c r="N10" s="1">
        <v>10.52</v>
      </c>
      <c r="O10" s="1">
        <f t="shared" si="0"/>
        <v>9</v>
      </c>
    </row>
    <row r="11" spans="1:15" x14ac:dyDescent="0.3">
      <c r="A11" s="2">
        <f>A10+1</f>
        <v>2</v>
      </c>
      <c r="B11" s="3">
        <f>B10+$F$8</f>
        <v>9.49</v>
      </c>
      <c r="C11" s="3">
        <f t="shared" si="1"/>
        <v>14.58</v>
      </c>
      <c r="D11" s="3">
        <f t="shared" si="2"/>
        <v>12.035</v>
      </c>
      <c r="E11" s="28">
        <f t="shared" ref="E11:E16" si="3">COUNTIFS($A$1:$J$6,"&gt;="&amp;B11,$A$1:$J$6,"&lt;="&amp;C11)</f>
        <v>13</v>
      </c>
      <c r="F11" s="4">
        <f>F10+E11</f>
        <v>19</v>
      </c>
      <c r="G11" s="29">
        <f t="shared" ref="G11:G16" si="4">F11/$F$16</f>
        <v>0.31666666666666665</v>
      </c>
      <c r="H11" s="6"/>
      <c r="I11" s="9"/>
      <c r="J11" s="6"/>
      <c r="L11" s="7"/>
      <c r="M11" s="1">
        <v>16.559999999999999</v>
      </c>
      <c r="N11" s="1">
        <v>10.55</v>
      </c>
      <c r="O11" s="1">
        <f t="shared" si="0"/>
        <v>10</v>
      </c>
    </row>
    <row r="12" spans="1:15" x14ac:dyDescent="0.3">
      <c r="A12" s="2">
        <f t="shared" ref="A12:A16" si="5">A11+1</f>
        <v>3</v>
      </c>
      <c r="B12" s="3">
        <f t="shared" ref="B12:B16" si="6">B11+$F$8</f>
        <v>14.59</v>
      </c>
      <c r="C12" s="3">
        <f t="shared" si="1"/>
        <v>19.679999999999996</v>
      </c>
      <c r="D12" s="3">
        <f t="shared" si="2"/>
        <v>17.134999999999998</v>
      </c>
      <c r="E12" s="28">
        <f t="shared" si="3"/>
        <v>29</v>
      </c>
      <c r="F12" s="4">
        <f t="shared" ref="F12:F16" si="7">F11+E12</f>
        <v>48</v>
      </c>
      <c r="G12" s="29">
        <f t="shared" si="4"/>
        <v>0.8</v>
      </c>
      <c r="H12" s="6"/>
      <c r="I12" s="9"/>
      <c r="J12" s="6"/>
      <c r="L12" s="7"/>
      <c r="M12" s="1" cm="1">
        <f t="array" ref="M12:M21">TRANSPOSE(A2:J2)</f>
        <v>31.2</v>
      </c>
      <c r="N12" s="1">
        <v>11.6</v>
      </c>
      <c r="O12" s="1">
        <f t="shared" si="0"/>
        <v>11</v>
      </c>
    </row>
    <row r="13" spans="1:15" x14ac:dyDescent="0.3">
      <c r="A13" s="2">
        <f t="shared" si="5"/>
        <v>4</v>
      </c>
      <c r="B13" s="3">
        <f t="shared" si="6"/>
        <v>19.689999999999998</v>
      </c>
      <c r="C13" s="3">
        <f t="shared" si="1"/>
        <v>24.779999999999998</v>
      </c>
      <c r="D13" s="3">
        <f t="shared" si="2"/>
        <v>22.234999999999999</v>
      </c>
      <c r="E13" s="28">
        <f t="shared" si="3"/>
        <v>5</v>
      </c>
      <c r="F13" s="4">
        <f t="shared" si="7"/>
        <v>53</v>
      </c>
      <c r="G13" s="29">
        <f t="shared" si="4"/>
        <v>0.8833333333333333</v>
      </c>
      <c r="H13" s="6"/>
      <c r="I13" s="9"/>
      <c r="J13" s="6"/>
      <c r="L13" s="7"/>
      <c r="M13" s="1">
        <v>15.9</v>
      </c>
      <c r="N13" s="35">
        <v>11.7</v>
      </c>
      <c r="O13" s="1">
        <f t="shared" si="0"/>
        <v>12</v>
      </c>
    </row>
    <row r="14" spans="1:15" x14ac:dyDescent="0.3">
      <c r="A14" s="2">
        <f t="shared" si="5"/>
        <v>5</v>
      </c>
      <c r="B14" s="3">
        <f t="shared" si="6"/>
        <v>24.79</v>
      </c>
      <c r="C14" s="3">
        <f t="shared" si="1"/>
        <v>29.88</v>
      </c>
      <c r="D14" s="3">
        <f t="shared" si="2"/>
        <v>27.335000000000001</v>
      </c>
      <c r="E14" s="28">
        <f t="shared" si="3"/>
        <v>3</v>
      </c>
      <c r="F14" s="4">
        <f t="shared" si="7"/>
        <v>56</v>
      </c>
      <c r="G14" s="29">
        <f t="shared" si="4"/>
        <v>0.93333333333333335</v>
      </c>
      <c r="H14" s="6"/>
      <c r="I14" s="9"/>
      <c r="J14" s="6"/>
      <c r="L14" s="7"/>
      <c r="M14" s="1">
        <v>17.399999999999999</v>
      </c>
      <c r="N14" s="1">
        <v>11.9</v>
      </c>
      <c r="O14" s="1">
        <f t="shared" si="0"/>
        <v>13</v>
      </c>
    </row>
    <row r="15" spans="1:15" x14ac:dyDescent="0.3">
      <c r="A15" s="2">
        <f t="shared" si="5"/>
        <v>6</v>
      </c>
      <c r="B15" s="3">
        <f t="shared" si="6"/>
        <v>29.89</v>
      </c>
      <c r="C15" s="3">
        <f t="shared" si="1"/>
        <v>34.980000000000004</v>
      </c>
      <c r="D15" s="3">
        <f t="shared" si="2"/>
        <v>32.435000000000002</v>
      </c>
      <c r="E15" s="28">
        <f t="shared" si="3"/>
        <v>1</v>
      </c>
      <c r="F15" s="4">
        <f t="shared" si="7"/>
        <v>57</v>
      </c>
      <c r="G15" s="29">
        <f t="shared" si="4"/>
        <v>0.95</v>
      </c>
      <c r="H15" s="6"/>
      <c r="I15" s="6"/>
      <c r="J15" s="6"/>
      <c r="L15" s="7"/>
      <c r="M15" s="1">
        <v>14.1</v>
      </c>
      <c r="N15" s="1">
        <v>12.2</v>
      </c>
      <c r="O15" s="1">
        <f t="shared" si="0"/>
        <v>14</v>
      </c>
    </row>
    <row r="16" spans="1:15" x14ac:dyDescent="0.3">
      <c r="A16" s="2">
        <f t="shared" si="5"/>
        <v>7</v>
      </c>
      <c r="B16" s="30">
        <f t="shared" si="6"/>
        <v>34.99</v>
      </c>
      <c r="C16" s="30">
        <f>$C$8+$G$8</f>
        <v>39.71</v>
      </c>
      <c r="D16" s="3">
        <f t="shared" si="2"/>
        <v>37.35</v>
      </c>
      <c r="E16" s="51">
        <f t="shared" si="3"/>
        <v>3</v>
      </c>
      <c r="F16" s="31">
        <f t="shared" si="7"/>
        <v>60</v>
      </c>
      <c r="G16" s="29">
        <f t="shared" si="4"/>
        <v>1</v>
      </c>
      <c r="M16" s="1">
        <v>11.7</v>
      </c>
      <c r="N16" s="53">
        <v>14.05</v>
      </c>
      <c r="O16" s="47">
        <f t="shared" si="0"/>
        <v>15</v>
      </c>
    </row>
    <row r="17" spans="2:15" x14ac:dyDescent="0.3">
      <c r="B17" s="49"/>
      <c r="C17" s="32"/>
      <c r="D17" s="32"/>
      <c r="E17" s="33"/>
      <c r="F17" s="34"/>
      <c r="G17" s="34"/>
      <c r="M17" s="1">
        <v>15.85</v>
      </c>
      <c r="N17" s="1">
        <v>14.08</v>
      </c>
      <c r="O17" s="1">
        <f t="shared" si="0"/>
        <v>16</v>
      </c>
    </row>
    <row r="18" spans="2:15" x14ac:dyDescent="0.3">
      <c r="B18" s="6"/>
      <c r="C18"/>
      <c r="D18"/>
      <c r="E18"/>
      <c r="F18" s="8"/>
      <c r="M18" s="1">
        <v>6.92</v>
      </c>
      <c r="N18" s="1">
        <v>14.1</v>
      </c>
      <c r="O18" s="1">
        <f t="shared" si="0"/>
        <v>17</v>
      </c>
    </row>
    <row r="19" spans="2:15" x14ac:dyDescent="0.3">
      <c r="B19" s="6"/>
      <c r="C19" s="14"/>
      <c r="D19" s="14"/>
      <c r="E19" s="16"/>
      <c r="F19" s="8"/>
      <c r="M19" s="1">
        <v>19.399999999999999</v>
      </c>
      <c r="N19" s="1">
        <v>14.15</v>
      </c>
      <c r="O19" s="1">
        <f t="shared" si="0"/>
        <v>18</v>
      </c>
    </row>
    <row r="20" spans="2:15" x14ac:dyDescent="0.3">
      <c r="B20" s="6"/>
      <c r="C20"/>
      <c r="D20"/>
      <c r="E20" s="15"/>
      <c r="F20" s="8"/>
      <c r="M20" s="1">
        <v>19.399999999999999</v>
      </c>
      <c r="N20" s="1">
        <v>14.42</v>
      </c>
      <c r="O20" s="1">
        <f t="shared" si="0"/>
        <v>19</v>
      </c>
    </row>
    <row r="21" spans="2:15" x14ac:dyDescent="0.3">
      <c r="B21" s="6"/>
      <c r="C21"/>
      <c r="D21"/>
      <c r="E21" s="15"/>
      <c r="F21" s="8"/>
      <c r="M21" s="1">
        <v>15.85</v>
      </c>
      <c r="N21" s="1">
        <v>14.63</v>
      </c>
      <c r="O21" s="1">
        <f t="shared" si="0"/>
        <v>20</v>
      </c>
    </row>
    <row r="22" spans="2:15" x14ac:dyDescent="0.3">
      <c r="C22"/>
      <c r="D22"/>
      <c r="E22" s="15"/>
      <c r="F22" s="8"/>
      <c r="M22" s="1" cm="1">
        <f t="array" ref="M22:M31">TRANSPOSE(A3:J3)</f>
        <v>20.59</v>
      </c>
      <c r="N22" s="1">
        <v>14.83</v>
      </c>
      <c r="O22" s="1">
        <f t="shared" si="0"/>
        <v>21</v>
      </c>
    </row>
    <row r="23" spans="2:15" x14ac:dyDescent="0.3">
      <c r="C23"/>
      <c r="D23"/>
      <c r="E23" s="15"/>
      <c r="F23" s="8"/>
      <c r="M23" s="1">
        <v>23.2</v>
      </c>
      <c r="N23" s="1">
        <v>14.93</v>
      </c>
      <c r="O23" s="1">
        <f t="shared" si="0"/>
        <v>22</v>
      </c>
    </row>
    <row r="24" spans="2:15" x14ac:dyDescent="0.3">
      <c r="C24"/>
      <c r="D24"/>
      <c r="E24" s="15"/>
      <c r="F24" s="8"/>
      <c r="M24" s="1">
        <v>16.32</v>
      </c>
      <c r="N24" s="1">
        <v>15.3</v>
      </c>
      <c r="O24" s="1">
        <f t="shared" si="0"/>
        <v>23</v>
      </c>
    </row>
    <row r="25" spans="2:15" x14ac:dyDescent="0.3">
      <c r="C25"/>
      <c r="D25"/>
      <c r="E25" s="15"/>
      <c r="M25" s="1">
        <v>6.85</v>
      </c>
      <c r="N25" s="1">
        <v>15.42</v>
      </c>
      <c r="O25" s="1">
        <f t="shared" si="0"/>
        <v>24</v>
      </c>
    </row>
    <row r="26" spans="2:15" x14ac:dyDescent="0.3">
      <c r="C26"/>
      <c r="D26"/>
      <c r="E26" s="15"/>
      <c r="M26" s="1">
        <v>15.3</v>
      </c>
      <c r="N26" s="1">
        <v>15.85</v>
      </c>
      <c r="O26" s="1">
        <f t="shared" si="0"/>
        <v>25</v>
      </c>
    </row>
    <row r="27" spans="2:15" x14ac:dyDescent="0.3">
      <c r="C27"/>
      <c r="D27"/>
      <c r="E27" s="8"/>
      <c r="M27" s="1">
        <v>16.62</v>
      </c>
      <c r="N27" s="1">
        <v>15.85</v>
      </c>
      <c r="O27" s="1">
        <f t="shared" si="0"/>
        <v>26</v>
      </c>
    </row>
    <row r="28" spans="2:15" x14ac:dyDescent="0.3">
      <c r="M28" s="1">
        <v>5.5</v>
      </c>
      <c r="N28" s="1">
        <v>15.9</v>
      </c>
      <c r="O28" s="1">
        <f t="shared" si="0"/>
        <v>27</v>
      </c>
    </row>
    <row r="29" spans="2:15" x14ac:dyDescent="0.3">
      <c r="M29" s="1">
        <v>19.899999999999999</v>
      </c>
      <c r="N29" s="1">
        <v>16.22</v>
      </c>
      <c r="O29" s="1">
        <f t="shared" si="0"/>
        <v>28</v>
      </c>
    </row>
    <row r="30" spans="2:15" x14ac:dyDescent="0.3">
      <c r="M30" s="1">
        <v>17.600000000000001</v>
      </c>
      <c r="N30" s="1">
        <v>16.32</v>
      </c>
      <c r="O30" s="1">
        <f t="shared" si="0"/>
        <v>29</v>
      </c>
    </row>
    <row r="31" spans="2:15" x14ac:dyDescent="0.3">
      <c r="M31" s="1">
        <v>22.41</v>
      </c>
      <c r="N31" s="54">
        <v>16.559999999999999</v>
      </c>
      <c r="O31" s="48">
        <f t="shared" si="0"/>
        <v>30</v>
      </c>
    </row>
    <row r="32" spans="2:15" x14ac:dyDescent="0.3">
      <c r="M32" s="1" cm="1">
        <f t="array" ref="M32:M41">TRANSPOSE(A4:J4)</f>
        <v>38.4</v>
      </c>
      <c r="N32" s="1">
        <v>16.62</v>
      </c>
      <c r="O32" s="1">
        <f t="shared" si="0"/>
        <v>31</v>
      </c>
    </row>
    <row r="33" spans="1:15" x14ac:dyDescent="0.3">
      <c r="M33" s="1">
        <v>25.2</v>
      </c>
      <c r="N33" s="1">
        <v>17.2</v>
      </c>
      <c r="O33" s="1">
        <f t="shared" si="0"/>
        <v>32</v>
      </c>
    </row>
    <row r="34" spans="1:15" x14ac:dyDescent="0.3">
      <c r="M34" s="1">
        <v>16.22</v>
      </c>
      <c r="N34" s="1">
        <v>17.2</v>
      </c>
      <c r="O34" s="1">
        <f t="shared" si="0"/>
        <v>33</v>
      </c>
    </row>
    <row r="35" spans="1:15" x14ac:dyDescent="0.3">
      <c r="M35" s="1">
        <v>14.08</v>
      </c>
      <c r="N35" s="1">
        <v>17.399999999999999</v>
      </c>
      <c r="O35" s="1">
        <f t="shared" si="0"/>
        <v>34</v>
      </c>
    </row>
    <row r="36" spans="1:15" x14ac:dyDescent="0.3">
      <c r="B36" s="1" t="s">
        <v>28</v>
      </c>
      <c r="C36" s="34" t="str">
        <f>IF(K6&gt;C37,K6,0)</f>
        <v/>
      </c>
      <c r="D36" s="1">
        <f>IF(C36=0,0,MAX(C36,0))</f>
        <v>0</v>
      </c>
      <c r="M36" s="1">
        <v>15.42</v>
      </c>
      <c r="N36" s="1">
        <v>17.600000000000001</v>
      </c>
      <c r="O36" s="1">
        <f t="shared" si="0"/>
        <v>35</v>
      </c>
    </row>
    <row r="37" spans="1:15" x14ac:dyDescent="0.3">
      <c r="B37" s="1" t="s">
        <v>27</v>
      </c>
      <c r="C37" s="34">
        <f>IF(K5&lt;C38,K5,IF(K6&lt;C38,K6,0))</f>
        <v>0</v>
      </c>
      <c r="D37" s="1">
        <f>IF(C37=0,0,MAX(C37-C36,0))</f>
        <v>0</v>
      </c>
      <c r="M37" s="1">
        <v>18.72</v>
      </c>
      <c r="N37" s="1">
        <v>17.600000000000001</v>
      </c>
      <c r="O37" s="1">
        <f t="shared" si="0"/>
        <v>36</v>
      </c>
    </row>
    <row r="38" spans="1:15" x14ac:dyDescent="0.3">
      <c r="B38" s="1" t="s">
        <v>26</v>
      </c>
      <c r="C38" s="34">
        <f>IF(K4&lt;C39,K4,IF(K3&lt;C39,K3,IF(K2&lt;C39,K2,0)))</f>
        <v>4.4000000000000004</v>
      </c>
      <c r="D38" s="1">
        <f>IF(C38=0,0,MAX(C38-C37,0))</f>
        <v>4.4000000000000004</v>
      </c>
      <c r="M38" s="1">
        <v>9.8000000000000007</v>
      </c>
      <c r="N38" s="1">
        <v>18</v>
      </c>
      <c r="O38" s="1">
        <f t="shared" si="0"/>
        <v>37</v>
      </c>
    </row>
    <row r="39" spans="1:15" x14ac:dyDescent="0.3">
      <c r="B39" s="1" t="s">
        <v>25</v>
      </c>
      <c r="C39" s="34">
        <f>IF(K5&lt;C40,K5,IF(K4&lt;C40,K4,IF(K3&lt;C40,K3,IF(K2&lt;C40,K2,0))))</f>
        <v>5.5</v>
      </c>
      <c r="D39" s="1">
        <f>IF(C39=0,0,MAX(C39-C38,0))</f>
        <v>1.0999999999999996</v>
      </c>
      <c r="M39" s="1">
        <v>18</v>
      </c>
      <c r="N39" s="1">
        <v>18.2</v>
      </c>
      <c r="O39" s="1">
        <f t="shared" si="0"/>
        <v>38</v>
      </c>
    </row>
    <row r="40" spans="1:15" x14ac:dyDescent="0.3">
      <c r="B40" s="1" t="s">
        <v>24</v>
      </c>
      <c r="C40" s="34">
        <f>IF(K6=MAX(K2:K6),K6,IF(K5=MAX(K2:K5),K5,IF(K4=MAX(K2:K4),K4,IF(K3=MAX(K2:K3),K3,IF(K2=MAX(K2:K3),K2,0)))))</f>
        <v>6</v>
      </c>
      <c r="D40" s="1">
        <f>IF(C40=0,0,MAX(0,C40-C39))</f>
        <v>0.5</v>
      </c>
      <c r="M40" s="1">
        <v>18.2</v>
      </c>
      <c r="N40" s="1">
        <v>18.399999999999999</v>
      </c>
      <c r="O40" s="1">
        <f t="shared" si="0"/>
        <v>39</v>
      </c>
    </row>
    <row r="41" spans="1:15" x14ac:dyDescent="0.3">
      <c r="B41" s="1" t="s">
        <v>29</v>
      </c>
      <c r="C41" s="17">
        <f>K8</f>
        <v>6.85</v>
      </c>
      <c r="D41" s="17">
        <f>IF(C40=0,0,MAX(0,C41-C40))</f>
        <v>0.84999999999999964</v>
      </c>
      <c r="M41" s="1">
        <v>21.66</v>
      </c>
      <c r="N41" s="35">
        <v>18.41</v>
      </c>
      <c r="O41" s="1">
        <f t="shared" si="0"/>
        <v>40</v>
      </c>
    </row>
    <row r="42" spans="1:15" x14ac:dyDescent="0.3">
      <c r="B42" s="1" t="s">
        <v>30</v>
      </c>
      <c r="C42" s="17">
        <f>H8</f>
        <v>14.057500000000001</v>
      </c>
      <c r="D42" s="17">
        <f>C42-C41</f>
        <v>7.2075000000000014</v>
      </c>
      <c r="M42" s="1" cm="1">
        <f t="array" ref="M42:M51">TRANSPOSE(A5:J5)</f>
        <v>18.399999999999999</v>
      </c>
      <c r="N42" s="1">
        <v>18.5</v>
      </c>
      <c r="O42" s="1">
        <f t="shared" si="0"/>
        <v>41</v>
      </c>
    </row>
    <row r="43" spans="1:15" x14ac:dyDescent="0.3">
      <c r="B43" s="1" t="s">
        <v>31</v>
      </c>
      <c r="C43" s="17">
        <f>I8</f>
        <v>16.59</v>
      </c>
      <c r="D43" s="17">
        <f>C43-C42</f>
        <v>2.5324999999999989</v>
      </c>
      <c r="M43" s="1">
        <v>39.700000000000003</v>
      </c>
      <c r="N43" s="1">
        <v>18.7</v>
      </c>
      <c r="O43" s="1">
        <f t="shared" si="0"/>
        <v>42</v>
      </c>
    </row>
    <row r="44" spans="1:15" x14ac:dyDescent="0.3">
      <c r="A44" s="17"/>
      <c r="B44" s="1" t="s">
        <v>32</v>
      </c>
      <c r="C44" s="17">
        <f>J8</f>
        <v>19.349999999999998</v>
      </c>
      <c r="D44" s="17">
        <f>C44-C43</f>
        <v>2.759999999999998</v>
      </c>
      <c r="M44" s="1">
        <v>10.52</v>
      </c>
      <c r="N44" s="1">
        <v>18.72</v>
      </c>
      <c r="O44" s="1">
        <f t="shared" si="0"/>
        <v>43</v>
      </c>
    </row>
    <row r="45" spans="1:15" x14ac:dyDescent="0.3">
      <c r="A45" s="17"/>
      <c r="B45" s="1" t="s">
        <v>33</v>
      </c>
      <c r="C45" s="17">
        <f>L8</f>
        <v>26.7</v>
      </c>
      <c r="D45" s="17">
        <f>C45-C44</f>
        <v>7.3500000000000014</v>
      </c>
      <c r="M45" s="1">
        <v>14.15</v>
      </c>
      <c r="N45" s="1">
        <v>19.100000000000001</v>
      </c>
      <c r="O45" s="1">
        <f t="shared" si="0"/>
        <v>44</v>
      </c>
    </row>
    <row r="46" spans="1:15" x14ac:dyDescent="0.3">
      <c r="A46" s="17"/>
      <c r="B46" s="1" t="s">
        <v>34</v>
      </c>
      <c r="C46" s="50">
        <f>IF(L6=MIN(L2:L6),L6,IF(L5=MIN(L2:L5),L5,IF(L4=MIN(L2:L4),L4,IF(L3=MIN(L2:L3),L3,IF(L2=MIN(L2:L3),L2,0)))))</f>
        <v>31.2</v>
      </c>
      <c r="D46" s="1">
        <f>IF(C46=0,0,MAX(0,C46-C45))</f>
        <v>4.5</v>
      </c>
      <c r="M46" s="1">
        <v>18.41</v>
      </c>
      <c r="N46" s="55">
        <v>19.2</v>
      </c>
      <c r="O46" s="18">
        <f t="shared" si="0"/>
        <v>45</v>
      </c>
    </row>
    <row r="47" spans="1:15" x14ac:dyDescent="0.3">
      <c r="A47" s="17"/>
      <c r="B47" s="1" t="s">
        <v>35</v>
      </c>
      <c r="C47" s="34">
        <f>IF(L3&gt;C46,L3,IF(L4&gt;C46,L4,IF(L5&gt;C46,L5,IF(L6&gt;C46,L6,0))))</f>
        <v>35.700000000000003</v>
      </c>
      <c r="D47" s="1">
        <f>IF(C47=0,0,MAX(0,C47-C46))</f>
        <v>4.5000000000000036</v>
      </c>
      <c r="M47" s="1">
        <v>14.42</v>
      </c>
      <c r="N47" s="1">
        <v>19.399999999999999</v>
      </c>
      <c r="O47" s="1">
        <f t="shared" si="0"/>
        <v>46</v>
      </c>
    </row>
    <row r="48" spans="1:15" x14ac:dyDescent="0.3">
      <c r="A48" s="17"/>
      <c r="B48" s="1" t="s">
        <v>36</v>
      </c>
      <c r="C48" s="34">
        <f>IF(L4&gt;C47,L4,IF(L5&gt;C47,L5,IF(L6&gt;C47,L6,0)))</f>
        <v>38.4</v>
      </c>
      <c r="D48" s="1">
        <f>IF(C48=0,0,MAX(0,C48-C47))</f>
        <v>2.6999999999999957</v>
      </c>
      <c r="M48" s="1">
        <v>9.4</v>
      </c>
      <c r="N48" s="1">
        <v>19.399999999999999</v>
      </c>
      <c r="O48" s="1">
        <f t="shared" si="0"/>
        <v>47</v>
      </c>
    </row>
    <row r="49" spans="1:15" x14ac:dyDescent="0.3">
      <c r="A49" s="17"/>
      <c r="B49" s="1" t="s">
        <v>37</v>
      </c>
      <c r="C49" s="34">
        <f>IF(L5&gt;C48,L5,IF(L6&gt;C48,L6,0))</f>
        <v>39.700000000000003</v>
      </c>
      <c r="D49" s="1">
        <f>IF(C49=0,0,MAX(0,C49-C48))</f>
        <v>1.3000000000000043</v>
      </c>
      <c r="M49" s="1">
        <v>19.100000000000001</v>
      </c>
      <c r="N49" s="1">
        <v>19.48</v>
      </c>
      <c r="O49" s="1">
        <f t="shared" si="0"/>
        <v>48</v>
      </c>
    </row>
    <row r="50" spans="1:15" x14ac:dyDescent="0.3">
      <c r="A50" s="17"/>
      <c r="B50" s="1" t="s">
        <v>38</v>
      </c>
      <c r="C50" s="34">
        <f>IF(L6&gt;C49,L6,0)</f>
        <v>0</v>
      </c>
      <c r="D50" s="1">
        <f>IF(C50=0,0,MAX(0,C50-C49))</f>
        <v>0</v>
      </c>
      <c r="M50" s="1">
        <v>14.05</v>
      </c>
      <c r="N50" s="1">
        <v>19.899999999999999</v>
      </c>
      <c r="O50" s="1">
        <f t="shared" si="0"/>
        <v>49</v>
      </c>
    </row>
    <row r="51" spans="1:15" x14ac:dyDescent="0.3">
      <c r="A51" s="17"/>
      <c r="M51" s="1">
        <v>10.55</v>
      </c>
      <c r="N51" s="1">
        <v>20.59</v>
      </c>
      <c r="O51" s="1">
        <f t="shared" si="0"/>
        <v>50</v>
      </c>
    </row>
    <row r="52" spans="1:15" x14ac:dyDescent="0.3">
      <c r="A52" s="17"/>
      <c r="M52" s="1" cm="1">
        <f t="array" ref="M52:M61">TRANSPOSE(A6:J6)</f>
        <v>26.7</v>
      </c>
      <c r="N52" s="1">
        <v>21.66</v>
      </c>
      <c r="O52" s="1">
        <f t="shared" si="0"/>
        <v>51</v>
      </c>
    </row>
    <row r="53" spans="1:15" x14ac:dyDescent="0.3">
      <c r="A53"/>
      <c r="M53" s="1">
        <v>35.700000000000003</v>
      </c>
      <c r="N53" s="35">
        <v>22.41</v>
      </c>
      <c r="O53" s="1">
        <f t="shared" si="0"/>
        <v>52</v>
      </c>
    </row>
    <row r="54" spans="1:15" x14ac:dyDescent="0.3">
      <c r="M54" s="1">
        <v>11.9</v>
      </c>
      <c r="N54" s="1">
        <v>23.2</v>
      </c>
      <c r="O54" s="1">
        <f t="shared" si="0"/>
        <v>53</v>
      </c>
    </row>
    <row r="55" spans="1:15" x14ac:dyDescent="0.3">
      <c r="M55" s="1">
        <v>10.15</v>
      </c>
      <c r="N55" s="1">
        <v>25.2</v>
      </c>
      <c r="O55" s="1">
        <f t="shared" si="0"/>
        <v>54</v>
      </c>
    </row>
    <row r="56" spans="1:15" x14ac:dyDescent="0.3">
      <c r="M56" s="1">
        <v>14.63</v>
      </c>
      <c r="N56" s="1">
        <v>26.5</v>
      </c>
      <c r="O56" s="1">
        <f t="shared" si="0"/>
        <v>55</v>
      </c>
    </row>
    <row r="57" spans="1:15" x14ac:dyDescent="0.3">
      <c r="M57" s="1">
        <v>17.600000000000001</v>
      </c>
      <c r="N57" s="1">
        <v>26.7</v>
      </c>
      <c r="O57" s="1">
        <f t="shared" si="0"/>
        <v>56</v>
      </c>
    </row>
    <row r="58" spans="1:15" x14ac:dyDescent="0.3">
      <c r="M58" s="1">
        <v>17.2</v>
      </c>
      <c r="N58" s="1">
        <v>31.2</v>
      </c>
      <c r="O58" s="1">
        <f t="shared" si="0"/>
        <v>57</v>
      </c>
    </row>
    <row r="59" spans="1:15" x14ac:dyDescent="0.3">
      <c r="M59" s="1">
        <v>18.7</v>
      </c>
      <c r="N59" s="1">
        <v>35.700000000000003</v>
      </c>
      <c r="O59" s="1">
        <f t="shared" si="0"/>
        <v>58</v>
      </c>
    </row>
    <row r="60" spans="1:15" x14ac:dyDescent="0.3">
      <c r="M60" s="1">
        <v>14.93</v>
      </c>
      <c r="N60" s="1">
        <v>38.4</v>
      </c>
      <c r="O60" s="1">
        <f t="shared" si="0"/>
        <v>59</v>
      </c>
    </row>
    <row r="61" spans="1:15" x14ac:dyDescent="0.3">
      <c r="M61" s="1">
        <v>19.48</v>
      </c>
      <c r="N61" s="1">
        <v>39.700000000000003</v>
      </c>
      <c r="O61" s="1">
        <f t="shared" si="0"/>
        <v>60</v>
      </c>
    </row>
    <row r="64" spans="1:15" x14ac:dyDescent="0.3">
      <c r="D64" s="17"/>
    </row>
    <row r="69" spans="4:4" x14ac:dyDescent="0.3">
      <c r="D69" s="17"/>
    </row>
  </sheetData>
  <sortState xmlns:xlrd2="http://schemas.microsoft.com/office/spreadsheetml/2017/richdata2" ref="N3:N61">
    <sortCondition ref="N2:N61"/>
  </sortState>
  <pageMargins left="0.7" right="0.7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7CA8-CBD9-4DFF-B17E-F5677B7DDBF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216D-3B72-462D-ABC1-C5AE19DE1FC3}">
  <dimension ref="A1"/>
  <sheetViews>
    <sheetView topLeftCell="A21" workbookViewId="0">
      <selection activeCell="F43" sqref="F43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4" ma:contentTypeDescription="Crear nuevo documento." ma:contentTypeScope="" ma:versionID="4e773ce14b4d97c4385b95fd18267883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43092602d632c688a8f00ee341a487ac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E7F41-33A3-4FC3-A65D-CC3152E41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d4b2b-7502-4871-ac31-8a669464ba77"/>
    <ds:schemaRef ds:uri="bba6e0d8-8986-46a8-840a-25cbd90f1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F5B45C-9148-45BD-8B75-935A22BFB8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BBA3FF-6E7D-4D31-BE1A-64FE53D589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PODCAST-CajBig(60)</vt:lpstr>
      <vt:lpstr>Hoja5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Mesa</dc:creator>
  <cp:keywords/>
  <dc:description/>
  <cp:lastModifiedBy>FERNANDO LEON</cp:lastModifiedBy>
  <cp:revision>51</cp:revision>
  <dcterms:created xsi:type="dcterms:W3CDTF">2017-09-24T21:23:54Z</dcterms:created>
  <dcterms:modified xsi:type="dcterms:W3CDTF">2025-11-13T22:19:09Z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0x010100C0D87BC49A8D414BAC6142E4534BA87F</vt:lpwstr>
  </property>
</Properties>
</file>